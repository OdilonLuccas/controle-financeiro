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dilon.oliveira\Downloads\"/>
    </mc:Choice>
  </mc:AlternateContent>
  <xr:revisionPtr revIDLastSave="0" documentId="8_{AEA7639C-99C5-4BC5-AD23-446A9A0BCA38}" xr6:coauthVersionLast="47" xr6:coauthVersionMax="47" xr10:uidLastSave="{00000000-0000-0000-0000-000000000000}"/>
  <bookViews>
    <workbookView xWindow="-120" yWindow="-120" windowWidth="29040" windowHeight="15720" xr2:uid="{C09807D3-B48B-46B7-A184-BEA9072B51BF}"/>
  </bookViews>
  <sheets>
    <sheet name="Março - Aberto" sheetId="8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8" l="1"/>
  <c r="C25" i="8"/>
  <c r="Q33" i="8"/>
  <c r="AC33" i="8"/>
  <c r="C28" i="8"/>
  <c r="Y33" i="8"/>
  <c r="C27" i="8"/>
  <c r="U33" i="8"/>
  <c r="F32" i="8"/>
  <c r="F14" i="8"/>
  <c r="C4" i="8"/>
  <c r="F6" i="8"/>
  <c r="C14" i="8"/>
  <c r="C5" i="8" l="1"/>
  <c r="C6" i="8" s="1"/>
  <c r="C32" i="8"/>
</calcChain>
</file>

<file path=xl/sharedStrings.xml><?xml version="1.0" encoding="utf-8"?>
<sst xmlns="http://schemas.openxmlformats.org/spreadsheetml/2006/main" count="83" uniqueCount="55">
  <si>
    <t>Valor Líquido</t>
  </si>
  <si>
    <t>Outros</t>
  </si>
  <si>
    <t>Total de Receitas</t>
  </si>
  <si>
    <t>Despesas</t>
  </si>
  <si>
    <t>Valores a pagar</t>
  </si>
  <si>
    <t>Academia</t>
  </si>
  <si>
    <t>Combustível</t>
  </si>
  <si>
    <t>Total de Despesas</t>
  </si>
  <si>
    <t>Total a pagar</t>
  </si>
  <si>
    <t>Valor</t>
  </si>
  <si>
    <t>Reserva de Emergência</t>
  </si>
  <si>
    <t>Investimento</t>
  </si>
  <si>
    <t>Total de Investimentos</t>
  </si>
  <si>
    <t>Alimentação</t>
  </si>
  <si>
    <t>Total Mensal</t>
  </si>
  <si>
    <t>Compra</t>
  </si>
  <si>
    <t>Data</t>
  </si>
  <si>
    <t>Subtotal</t>
  </si>
  <si>
    <t>Receitas de Fervereiro</t>
  </si>
  <si>
    <t>Resumo do mes</t>
  </si>
  <si>
    <t>Valor de receita</t>
  </si>
  <si>
    <t>Total</t>
  </si>
  <si>
    <t>DATA</t>
  </si>
  <si>
    <t>VALOR</t>
  </si>
  <si>
    <t>Orçamento Doméstico Mensal</t>
  </si>
  <si>
    <t>Despesas dos carões de Credito</t>
  </si>
  <si>
    <t>Reserva e Investimento</t>
  </si>
  <si>
    <t>Relatório Financeiro Mensal</t>
  </si>
  <si>
    <t>Compras</t>
  </si>
  <si>
    <t>Dividas de Gaveta</t>
  </si>
  <si>
    <t xml:space="preserve">Renda 1 </t>
  </si>
  <si>
    <t>Renda 2</t>
  </si>
  <si>
    <t>Extra 1</t>
  </si>
  <si>
    <t>Extra 2</t>
  </si>
  <si>
    <t>V.A</t>
  </si>
  <si>
    <t>V.R</t>
  </si>
  <si>
    <t>Dinheiro</t>
  </si>
  <si>
    <t>Financiamento ou Aluguel</t>
  </si>
  <si>
    <t>Conta de Água</t>
  </si>
  <si>
    <t>Conta de Luz</t>
  </si>
  <si>
    <t>Conta de Internet</t>
  </si>
  <si>
    <t>Conta de Telefone 1</t>
  </si>
  <si>
    <t xml:space="preserve">Conta de Telefone 2 </t>
  </si>
  <si>
    <t xml:space="preserve">Cartão de Crédito Supermercado </t>
  </si>
  <si>
    <t>Cartão de Crédito 1</t>
  </si>
  <si>
    <t>Cartão de Crédito 2</t>
  </si>
  <si>
    <t>Cartão de Crédito 3</t>
  </si>
  <si>
    <t>Seguro</t>
  </si>
  <si>
    <t>Bar</t>
  </si>
  <si>
    <t>Financiamento do Veiculo</t>
  </si>
  <si>
    <t>Compras 1</t>
  </si>
  <si>
    <t>Compras 2</t>
  </si>
  <si>
    <t>Compras 3</t>
  </si>
  <si>
    <t>Compras 4</t>
  </si>
  <si>
    <t>Compras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</si>
</sst>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 R$ &quot;* #,##0.00&quot; &quot;;&quot;-R$ &quot;* #,##0.00&quot; &quot;;&quot; R$ &quot;* &quot;-&quot;00&quot; &quot;;&quot; &quot;@&quot; &quot;"/>
    <numFmt numFmtId="165" formatCode="[$R$-409]&quot; &quot;#,##0.00"/>
    <numFmt numFmtId="166" formatCode="&quot; &quot;[$R$-416]&quot; &quot;* #,##0.00&quot; &quot;;&quot;-&quot;[$R$-416]&quot; &quot;* #,##0.00&quot; &quot;;&quot; &quot;[$R$-416]&quot; &quot;* &quot;-&quot;00&quot; &quot;;&quot; &quot;@&quot; &quot;"/>
    <numFmt numFmtId="167" formatCode="_-[$R$-416]\ * #,##0.00_-;\-[$R$-416]\ * #,##0.00_-;_-[$R$-416]\ * &quot;-&quot;??_-;_-@_-"/>
  </numFmts>
  <fonts count="25" x14ac:knownFonts="1">
    <font>
      <sz val="10"/>
      <color theme="1"/>
      <name val="Liberation Sans"/>
      <family val="2"/>
    </font>
    <font>
      <b/>
      <sz val="10"/>
      <color theme="1"/>
      <name val="Liberation Sans"/>
      <family val="2"/>
    </font>
    <font>
      <b/>
      <sz val="10"/>
      <color rgb="FFFFFFFF"/>
      <name val="Liberation Sans"/>
      <family val="2"/>
    </font>
    <font>
      <sz val="10"/>
      <color rgb="FFCC0000"/>
      <name val="Liberation Sans"/>
      <family val="2"/>
    </font>
    <font>
      <sz val="11"/>
      <color rgb="FF000000"/>
      <name val="Aptos Narrow"/>
      <family val="2"/>
    </font>
    <font>
      <sz val="10"/>
      <color theme="1"/>
      <name val="Calibri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theme="1"/>
      <name val="Liberation Sans"/>
      <family val="2"/>
    </font>
    <font>
      <b/>
      <sz val="18"/>
      <color theme="1"/>
      <name val="Liberation Sans"/>
      <family val="2"/>
    </font>
    <font>
      <b/>
      <sz val="12"/>
      <color theme="1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theme="1"/>
      <name val="Liberation Sans"/>
      <family val="2"/>
    </font>
    <font>
      <b/>
      <sz val="16"/>
      <color theme="1"/>
      <name val="Arial"/>
    </font>
    <font>
      <sz val="16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FFFFFF"/>
      <name val="Arial"/>
    </font>
    <font>
      <b/>
      <sz val="10"/>
      <color theme="0"/>
      <name val="Arial"/>
    </font>
    <font>
      <b/>
      <sz val="16"/>
      <color rgb="FF000000"/>
      <name val="Arial"/>
    </font>
    <font>
      <sz val="11"/>
      <color rgb="FF000000"/>
      <name val="Arial"/>
    </font>
    <font>
      <sz val="10"/>
      <color rgb="FFFFFFFF"/>
      <name val="Arial"/>
    </font>
    <font>
      <sz val="8"/>
      <name val="Liberation Sans"/>
      <family val="2"/>
    </font>
  </fonts>
  <fills count="3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B4E5A2"/>
        <bgColor rgb="FFB4E5A2"/>
      </patternFill>
    </fill>
    <fill>
      <patternFill patternType="solid">
        <fgColor rgb="FF61CBF4"/>
        <bgColor rgb="FF61CBF4"/>
      </patternFill>
    </fill>
    <fill>
      <patternFill patternType="solid">
        <fgColor rgb="FFCAEEFB"/>
        <bgColor rgb="FFCAEEFB"/>
      </patternFill>
    </fill>
    <fill>
      <patternFill patternType="solid">
        <fgColor rgb="FFFF5050"/>
        <bgColor rgb="FFFF5050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rgb="FFFFC000"/>
      </patternFill>
    </fill>
    <fill>
      <patternFill patternType="solid">
        <fgColor rgb="FFFFFF66"/>
        <bgColor rgb="FFFFFF66"/>
      </patternFill>
    </fill>
    <fill>
      <patternFill patternType="solid">
        <fgColor rgb="FFA9D08E"/>
        <bgColor rgb="FFA9D08E"/>
      </patternFill>
    </fill>
    <fill>
      <patternFill patternType="solid">
        <fgColor rgb="FFE2EFDA"/>
        <bgColor rgb="FFE2EFDA"/>
      </patternFill>
    </fill>
    <fill>
      <patternFill patternType="solid">
        <fgColor rgb="FFFF5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B4E5A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61CBF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DAF2D0"/>
        <bgColor indexed="64"/>
      </patternFill>
    </fill>
  </fills>
  <borders count="3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21">
    <xf numFmtId="0" fontId="0" fillId="0" borderId="0"/>
    <xf numFmtId="0" fontId="1" fillId="0" borderId="0" applyNumberFormat="0" applyFill="0" applyBorder="0" applyProtection="0"/>
    <xf numFmtId="0" fontId="2" fillId="2" borderId="0" applyNumberFormat="0" applyBorder="0" applyProtection="0"/>
    <xf numFmtId="0" fontId="2" fillId="3" borderId="0" applyNumberFormat="0" applyBorder="0" applyProtection="0"/>
    <xf numFmtId="0" fontId="1" fillId="4" borderId="0" applyNumberFormat="0" applyBorder="0" applyProtection="0"/>
    <xf numFmtId="0" fontId="3" fillId="5" borderId="0" applyNumberFormat="0" applyBorder="0" applyProtection="0"/>
    <xf numFmtId="0" fontId="4" fillId="0" borderId="0" applyNumberFormat="0" applyBorder="0" applyProtection="0"/>
    <xf numFmtId="0" fontId="2" fillId="6" borderId="0" applyNumberFormat="0" applyBorder="0" applyProtection="0"/>
    <xf numFmtId="164" fontId="5" fillId="0" borderId="0" applyFill="0" applyBorder="0" applyProtection="0"/>
    <xf numFmtId="0" fontId="6" fillId="0" borderId="0" applyNumberFormat="0" applyFill="0" applyBorder="0" applyProtection="0"/>
    <xf numFmtId="0" fontId="7" fillId="7" borderId="0" applyNumberFormat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1" fillId="0" borderId="0" applyNumberFormat="0" applyFill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14" fillId="0" borderId="0" applyNumberFormat="0" applyFill="0" applyBorder="0" applyProtection="0"/>
    <xf numFmtId="0" fontId="5" fillId="0" borderId="0" applyNumberFormat="0" applyFill="0" applyBorder="0" applyProtection="0"/>
    <xf numFmtId="0" fontId="5" fillId="0" borderId="0" applyNumberFormat="0" applyFill="0" applyBorder="0" applyProtection="0"/>
    <xf numFmtId="0" fontId="3" fillId="0" borderId="0" applyNumberFormat="0" applyFill="0" applyBorder="0" applyProtection="0"/>
  </cellStyleXfs>
  <cellXfs count="114">
    <xf numFmtId="0" fontId="0" fillId="0" borderId="0" xfId="0"/>
    <xf numFmtId="0" fontId="16" fillId="0" borderId="0" xfId="0" applyFont="1"/>
    <xf numFmtId="0" fontId="17" fillId="0" borderId="0" xfId="0" applyFont="1"/>
    <xf numFmtId="0" fontId="18" fillId="19" borderId="21" xfId="0" applyFont="1" applyFill="1" applyBorder="1" applyAlignment="1">
      <alignment horizontal="center" vertical="center"/>
    </xf>
    <xf numFmtId="0" fontId="18" fillId="19" borderId="22" xfId="0" applyFont="1" applyFill="1" applyBorder="1" applyAlignment="1">
      <alignment horizontal="center" vertical="center"/>
    </xf>
    <xf numFmtId="0" fontId="18" fillId="14" borderId="21" xfId="0" applyFont="1" applyFill="1" applyBorder="1" applyAlignment="1">
      <alignment horizontal="center"/>
    </xf>
    <xf numFmtId="0" fontId="18" fillId="14" borderId="22" xfId="0" applyFont="1" applyFill="1" applyBorder="1" applyAlignment="1">
      <alignment horizontal="center"/>
    </xf>
    <xf numFmtId="0" fontId="17" fillId="23" borderId="23" xfId="0" applyFont="1" applyFill="1" applyBorder="1" applyAlignment="1">
      <alignment horizontal="left" vertical="center"/>
    </xf>
    <xf numFmtId="0" fontId="17" fillId="15" borderId="23" xfId="0" applyFont="1" applyFill="1" applyBorder="1"/>
    <xf numFmtId="0" fontId="18" fillId="19" borderId="24" xfId="0" applyFont="1" applyFill="1" applyBorder="1" applyAlignment="1">
      <alignment horizontal="center" vertical="center"/>
    </xf>
    <xf numFmtId="0" fontId="18" fillId="24" borderId="24" xfId="0" applyFont="1" applyFill="1" applyBorder="1" applyAlignment="1">
      <alignment horizontal="center" vertical="center"/>
    </xf>
    <xf numFmtId="0" fontId="17" fillId="28" borderId="0" xfId="0" applyFont="1" applyFill="1"/>
    <xf numFmtId="0" fontId="18" fillId="10" borderId="21" xfId="0" applyFont="1" applyFill="1" applyBorder="1" applyAlignment="1">
      <alignment horizontal="center"/>
    </xf>
    <xf numFmtId="0" fontId="18" fillId="10" borderId="22" xfId="0" applyFont="1" applyFill="1" applyBorder="1" applyAlignment="1">
      <alignment horizontal="center"/>
    </xf>
    <xf numFmtId="0" fontId="18" fillId="16" borderId="26" xfId="0" applyFont="1" applyFill="1" applyBorder="1" applyAlignment="1">
      <alignment horizontal="center"/>
    </xf>
    <xf numFmtId="0" fontId="18" fillId="16" borderId="27" xfId="0" applyFont="1" applyFill="1" applyBorder="1" applyAlignment="1">
      <alignment horizontal="center"/>
    </xf>
    <xf numFmtId="0" fontId="17" fillId="11" borderId="23" xfId="0" applyFont="1" applyFill="1" applyBorder="1"/>
    <xf numFmtId="0" fontId="17" fillId="17" borderId="23" xfId="0" applyFont="1" applyFill="1" applyBorder="1"/>
    <xf numFmtId="0" fontId="17" fillId="29" borderId="23" xfId="0" applyFont="1" applyFill="1" applyBorder="1"/>
    <xf numFmtId="0" fontId="18" fillId="26" borderId="24" xfId="0" applyFont="1" applyFill="1" applyBorder="1" applyAlignment="1">
      <alignment horizontal="center" vertical="center"/>
    </xf>
    <xf numFmtId="0" fontId="18" fillId="25" borderId="28" xfId="0" applyFont="1" applyFill="1" applyBorder="1" applyAlignment="1">
      <alignment horizontal="center" vertical="center"/>
    </xf>
    <xf numFmtId="0" fontId="20" fillId="27" borderId="21" xfId="0" applyFont="1" applyFill="1" applyBorder="1" applyAlignment="1">
      <alignment horizontal="center"/>
    </xf>
    <xf numFmtId="0" fontId="20" fillId="27" borderId="22" xfId="0" applyFont="1" applyFill="1" applyBorder="1" applyAlignment="1">
      <alignment horizontal="center"/>
    </xf>
    <xf numFmtId="0" fontId="17" fillId="18" borderId="23" xfId="0" applyFont="1" applyFill="1" applyBorder="1"/>
    <xf numFmtId="0" fontId="17" fillId="12" borderId="23" xfId="0" applyFont="1" applyFill="1" applyBorder="1"/>
    <xf numFmtId="0" fontId="17" fillId="18" borderId="23" xfId="0" applyFont="1" applyFill="1" applyBorder="1" applyAlignment="1">
      <alignment wrapText="1"/>
    </xf>
    <xf numFmtId="0" fontId="19" fillId="13" borderId="24" xfId="0" applyFont="1" applyFill="1" applyBorder="1" applyAlignment="1">
      <alignment horizontal="center" vertical="center"/>
    </xf>
    <xf numFmtId="0" fontId="19" fillId="13" borderId="24" xfId="0" applyFont="1" applyFill="1" applyBorder="1" applyAlignment="1">
      <alignment horizontal="center"/>
    </xf>
    <xf numFmtId="0" fontId="17" fillId="0" borderId="0" xfId="0" applyFont="1" applyAlignment="1">
      <alignment wrapText="1"/>
    </xf>
    <xf numFmtId="14" fontId="17" fillId="0" borderId="0" xfId="0" applyNumberFormat="1" applyFont="1"/>
    <xf numFmtId="165" fontId="17" fillId="0" borderId="0" xfId="0" applyNumberFormat="1" applyFont="1"/>
    <xf numFmtId="166" fontId="17" fillId="0" borderId="0" xfId="0" applyNumberFormat="1" applyFont="1"/>
    <xf numFmtId="0" fontId="17" fillId="28" borderId="11" xfId="0" applyFont="1" applyFill="1" applyBorder="1"/>
    <xf numFmtId="0" fontId="18" fillId="28" borderId="0" xfId="0" applyFont="1" applyFill="1" applyAlignment="1">
      <alignment horizontal="center"/>
    </xf>
    <xf numFmtId="0" fontId="17" fillId="28" borderId="16" xfId="0" applyFont="1" applyFill="1" applyBorder="1"/>
    <xf numFmtId="0" fontId="16" fillId="9" borderId="11" xfId="0" applyFont="1" applyFill="1" applyBorder="1"/>
    <xf numFmtId="14" fontId="17" fillId="0" borderId="0" xfId="0" applyNumberFormat="1" applyFont="1" applyAlignment="1">
      <alignment wrapText="1"/>
    </xf>
    <xf numFmtId="14" fontId="22" fillId="18" borderId="2" xfId="0" applyNumberFormat="1" applyFont="1" applyFill="1" applyBorder="1" applyAlignment="1">
      <alignment horizontal="center" vertical="center"/>
    </xf>
    <xf numFmtId="14" fontId="17" fillId="12" borderId="2" xfId="0" applyNumberFormat="1" applyFont="1" applyFill="1" applyBorder="1" applyAlignment="1">
      <alignment vertical="center" wrapText="1"/>
    </xf>
    <xf numFmtId="14" fontId="17" fillId="12" borderId="2" xfId="0" applyNumberFormat="1" applyFont="1" applyFill="1" applyBorder="1" applyAlignment="1">
      <alignment vertical="center"/>
    </xf>
    <xf numFmtId="14" fontId="17" fillId="12" borderId="3" xfId="0" applyNumberFormat="1" applyFont="1" applyFill="1" applyBorder="1" applyAlignment="1">
      <alignment vertical="center" wrapText="1"/>
    </xf>
    <xf numFmtId="14" fontId="17" fillId="18" borderId="2" xfId="0" applyNumberFormat="1" applyFont="1" applyFill="1" applyBorder="1" applyAlignment="1">
      <alignment horizontal="center" vertical="center"/>
    </xf>
    <xf numFmtId="14" fontId="17" fillId="12" borderId="3" xfId="0" applyNumberFormat="1" applyFont="1" applyFill="1" applyBorder="1" applyAlignment="1">
      <alignment horizontal="center" vertical="center"/>
    </xf>
    <xf numFmtId="164" fontId="20" fillId="27" borderId="4" xfId="8" applyFont="1" applyFill="1" applyBorder="1" applyAlignment="1">
      <alignment horizontal="center" vertical="center"/>
    </xf>
    <xf numFmtId="164" fontId="20" fillId="27" borderId="30" xfId="8" applyFont="1" applyFill="1" applyBorder="1" applyAlignment="1">
      <alignment horizontal="center" vertical="center"/>
    </xf>
    <xf numFmtId="164" fontId="20" fillId="27" borderId="31" xfId="8" applyFont="1" applyFill="1" applyBorder="1" applyAlignment="1">
      <alignment horizontal="center" vertical="center"/>
    </xf>
    <xf numFmtId="0" fontId="17" fillId="12" borderId="9" xfId="0" applyFont="1" applyFill="1" applyBorder="1" applyAlignment="1">
      <alignment vertical="center"/>
    </xf>
    <xf numFmtId="165" fontId="17" fillId="12" borderId="9" xfId="0" applyNumberFormat="1" applyFont="1" applyFill="1" applyBorder="1" applyAlignment="1">
      <alignment vertical="center"/>
    </xf>
    <xf numFmtId="0" fontId="17" fillId="12" borderId="23" xfId="0" applyFont="1" applyFill="1" applyBorder="1" applyAlignment="1">
      <alignment vertical="center"/>
    </xf>
    <xf numFmtId="0" fontId="19" fillId="13" borderId="28" xfId="0" applyFont="1" applyFill="1" applyBorder="1" applyAlignment="1">
      <alignment horizontal="center" vertical="center"/>
    </xf>
    <xf numFmtId="14" fontId="23" fillId="13" borderId="16" xfId="0" applyNumberFormat="1" applyFont="1" applyFill="1" applyBorder="1" applyAlignment="1">
      <alignment vertical="center"/>
    </xf>
    <xf numFmtId="166" fontId="19" fillId="13" borderId="29" xfId="0" applyNumberFormat="1" applyFont="1" applyFill="1" applyBorder="1" applyAlignment="1">
      <alignment horizontal="center" vertical="center"/>
    </xf>
    <xf numFmtId="0" fontId="22" fillId="18" borderId="9" xfId="0" applyFont="1" applyFill="1" applyBorder="1" applyAlignment="1">
      <alignment horizontal="right" vertical="center"/>
    </xf>
    <xf numFmtId="0" fontId="17" fillId="18" borderId="9" xfId="0" applyFont="1" applyFill="1" applyBorder="1" applyAlignment="1">
      <alignment horizontal="right" vertical="center"/>
    </xf>
    <xf numFmtId="165" fontId="17" fillId="12" borderId="33" xfId="0" applyNumberFormat="1" applyFont="1" applyFill="1" applyBorder="1" applyAlignment="1">
      <alignment horizontal="right" vertical="center"/>
    </xf>
    <xf numFmtId="0" fontId="17" fillId="12" borderId="23" xfId="0" applyFont="1" applyFill="1" applyBorder="1" applyAlignment="1">
      <alignment vertical="center" wrapText="1"/>
    </xf>
    <xf numFmtId="0" fontId="17" fillId="12" borderId="32" xfId="0" applyFont="1" applyFill="1" applyBorder="1" applyAlignment="1">
      <alignment vertical="center" wrapText="1"/>
    </xf>
    <xf numFmtId="0" fontId="17" fillId="12" borderId="33" xfId="0" applyFont="1" applyFill="1" applyBorder="1" applyAlignment="1">
      <alignment vertical="center" wrapText="1"/>
    </xf>
    <xf numFmtId="0" fontId="17" fillId="12" borderId="9" xfId="0" applyFont="1" applyFill="1" applyBorder="1" applyAlignment="1">
      <alignment vertical="center" wrapText="1"/>
    </xf>
    <xf numFmtId="0" fontId="17" fillId="30" borderId="0" xfId="0" applyFont="1" applyFill="1" applyAlignment="1">
      <alignment horizontal="center" vertical="center"/>
    </xf>
    <xf numFmtId="0" fontId="17" fillId="30" borderId="0" xfId="0" applyFont="1" applyFill="1" applyAlignment="1">
      <alignment vertical="center"/>
    </xf>
    <xf numFmtId="0" fontId="17" fillId="30" borderId="16" xfId="0" applyFont="1" applyFill="1" applyBorder="1" applyAlignment="1">
      <alignment vertical="center"/>
    </xf>
    <xf numFmtId="0" fontId="16" fillId="30" borderId="0" xfId="0" applyFont="1" applyFill="1" applyAlignment="1">
      <alignment horizontal="center" vertical="center"/>
    </xf>
    <xf numFmtId="166" fontId="19" fillId="13" borderId="29" xfId="0" applyNumberFormat="1" applyFont="1" applyFill="1" applyBorder="1" applyAlignment="1">
      <alignment horizontal="center" vertical="center" wrapText="1"/>
    </xf>
    <xf numFmtId="0" fontId="17" fillId="31" borderId="12" xfId="0" applyFont="1" applyFill="1" applyBorder="1"/>
    <xf numFmtId="0" fontId="17" fillId="31" borderId="14" xfId="0" applyFont="1" applyFill="1" applyBorder="1"/>
    <xf numFmtId="0" fontId="17" fillId="31" borderId="17" xfId="0" applyFont="1" applyFill="1" applyBorder="1"/>
    <xf numFmtId="164" fontId="20" fillId="27" borderId="8" xfId="8" applyFont="1" applyFill="1" applyBorder="1" applyAlignment="1">
      <alignment horizontal="center" vertical="center"/>
    </xf>
    <xf numFmtId="0" fontId="22" fillId="18" borderId="6" xfId="0" applyFont="1" applyFill="1" applyBorder="1" applyAlignment="1">
      <alignment vertical="center"/>
    </xf>
    <xf numFmtId="0" fontId="17" fillId="18" borderId="6" xfId="0" applyFont="1" applyFill="1" applyBorder="1" applyAlignment="1">
      <alignment vertical="center"/>
    </xf>
    <xf numFmtId="0" fontId="17" fillId="12" borderId="5" xfId="0" applyFont="1" applyFill="1" applyBorder="1" applyAlignment="1">
      <alignment vertical="center"/>
    </xf>
    <xf numFmtId="0" fontId="19" fillId="13" borderId="36" xfId="0" applyFont="1" applyFill="1" applyBorder="1" applyAlignment="1">
      <alignment horizontal="center" vertical="center"/>
    </xf>
    <xf numFmtId="0" fontId="16" fillId="22" borderId="11" xfId="0" applyFont="1" applyFill="1" applyBorder="1"/>
    <xf numFmtId="0" fontId="17" fillId="29" borderId="16" xfId="0" applyFont="1" applyFill="1" applyBorder="1"/>
    <xf numFmtId="164" fontId="17" fillId="17" borderId="9" xfId="8" applyFont="1" applyFill="1" applyBorder="1" applyAlignment="1">
      <alignment horizontal="right" vertical="center"/>
    </xf>
    <xf numFmtId="0" fontId="17" fillId="31" borderId="15" xfId="0" applyFont="1" applyFill="1" applyBorder="1"/>
    <xf numFmtId="0" fontId="17" fillId="31" borderId="10" xfId="0" applyFont="1" applyFill="1" applyBorder="1"/>
    <xf numFmtId="0" fontId="17" fillId="31" borderId="13" xfId="0" applyFont="1" applyFill="1" applyBorder="1"/>
    <xf numFmtId="0" fontId="17" fillId="31" borderId="16" xfId="0" applyFont="1" applyFill="1" applyBorder="1"/>
    <xf numFmtId="0" fontId="16" fillId="22" borderId="10" xfId="0" applyFont="1" applyFill="1" applyBorder="1"/>
    <xf numFmtId="164" fontId="19" fillId="13" borderId="25" xfId="0" applyNumberFormat="1" applyFont="1" applyFill="1" applyBorder="1" applyAlignment="1">
      <alignment horizontal="right" vertical="center"/>
    </xf>
    <xf numFmtId="164" fontId="18" fillId="26" borderId="25" xfId="8" applyFont="1" applyFill="1" applyBorder="1" applyAlignment="1">
      <alignment horizontal="right" vertical="center"/>
    </xf>
    <xf numFmtId="166" fontId="17" fillId="23" borderId="9" xfId="0" applyNumberFormat="1" applyFont="1" applyFill="1" applyBorder="1" applyAlignment="1">
      <alignment horizontal="right" vertical="center"/>
    </xf>
    <xf numFmtId="164" fontId="17" fillId="23" borderId="9" xfId="0" applyNumberFormat="1" applyFont="1" applyFill="1" applyBorder="1" applyAlignment="1">
      <alignment horizontal="right" vertical="center"/>
    </xf>
    <xf numFmtId="167" fontId="18" fillId="19" borderId="25" xfId="0" applyNumberFormat="1" applyFont="1" applyFill="1" applyBorder="1" applyAlignment="1">
      <alignment horizontal="right" vertical="center"/>
    </xf>
    <xf numFmtId="164" fontId="18" fillId="25" borderId="29" xfId="8" applyFont="1" applyFill="1" applyBorder="1" applyAlignment="1">
      <alignment horizontal="right" vertical="center"/>
    </xf>
    <xf numFmtId="164" fontId="18" fillId="24" borderId="25" xfId="8" applyFont="1" applyFill="1" applyBorder="1" applyAlignment="1">
      <alignment horizontal="right" vertical="center"/>
    </xf>
    <xf numFmtId="164" fontId="17" fillId="18" borderId="9" xfId="8" applyFont="1" applyFill="1" applyBorder="1" applyAlignment="1">
      <alignment horizontal="right" vertical="center"/>
    </xf>
    <xf numFmtId="166" fontId="17" fillId="11" borderId="9" xfId="0" applyNumberFormat="1" applyFont="1" applyFill="1" applyBorder="1" applyAlignment="1">
      <alignment horizontal="right" vertical="center"/>
    </xf>
    <xf numFmtId="164" fontId="17" fillId="11" borderId="9" xfId="8" applyFont="1" applyFill="1" applyBorder="1" applyAlignment="1">
      <alignment horizontal="right" vertical="center"/>
    </xf>
    <xf numFmtId="0" fontId="17" fillId="28" borderId="0" xfId="0" applyFont="1" applyFill="1" applyAlignment="1">
      <alignment horizontal="right" vertical="center"/>
    </xf>
    <xf numFmtId="0" fontId="17" fillId="12" borderId="9" xfId="0" applyFont="1" applyFill="1" applyBorder="1" applyAlignment="1">
      <alignment horizontal="right" vertical="center"/>
    </xf>
    <xf numFmtId="0" fontId="19" fillId="13" borderId="25" xfId="0" applyFont="1" applyFill="1" applyBorder="1" applyAlignment="1">
      <alignment horizontal="right" vertical="center"/>
    </xf>
    <xf numFmtId="0" fontId="17" fillId="29" borderId="9" xfId="0" applyFont="1" applyFill="1" applyBorder="1" applyAlignment="1">
      <alignment horizontal="right" vertical="center"/>
    </xf>
    <xf numFmtId="164" fontId="17" fillId="15" borderId="9" xfId="8" applyFont="1" applyFill="1" applyBorder="1" applyAlignment="1">
      <alignment horizontal="right" vertical="center"/>
    </xf>
    <xf numFmtId="0" fontId="21" fillId="22" borderId="19" xfId="0" applyFont="1" applyFill="1" applyBorder="1" applyAlignment="1">
      <alignment horizontal="center" vertical="center"/>
    </xf>
    <xf numFmtId="0" fontId="21" fillId="22" borderId="20" xfId="0" applyFont="1" applyFill="1" applyBorder="1" applyAlignment="1">
      <alignment horizontal="center" vertical="center"/>
    </xf>
    <xf numFmtId="0" fontId="19" fillId="20" borderId="18" xfId="0" applyFont="1" applyFill="1" applyBorder="1" applyAlignment="1">
      <alignment horizontal="center"/>
    </xf>
    <xf numFmtId="0" fontId="19" fillId="20" borderId="19" xfId="0" applyFont="1" applyFill="1" applyBorder="1" applyAlignment="1">
      <alignment horizontal="center"/>
    </xf>
    <xf numFmtId="0" fontId="19" fillId="20" borderId="20" xfId="0" applyFont="1" applyFill="1" applyBorder="1" applyAlignment="1">
      <alignment horizontal="center"/>
    </xf>
    <xf numFmtId="0" fontId="17" fillId="21" borderId="13" xfId="0" applyFont="1" applyFill="1" applyBorder="1" applyAlignment="1">
      <alignment horizontal="left" vertical="top" wrapText="1"/>
    </xf>
    <xf numFmtId="0" fontId="17" fillId="21" borderId="0" xfId="0" applyFont="1" applyFill="1" applyAlignment="1">
      <alignment horizontal="left" vertical="top" wrapText="1"/>
    </xf>
    <xf numFmtId="0" fontId="17" fillId="21" borderId="14" xfId="0" applyFont="1" applyFill="1" applyBorder="1" applyAlignment="1">
      <alignment horizontal="left" vertical="top" wrapText="1"/>
    </xf>
    <xf numFmtId="0" fontId="17" fillId="21" borderId="15" xfId="0" applyFont="1" applyFill="1" applyBorder="1" applyAlignment="1">
      <alignment horizontal="left" vertical="top" wrapText="1"/>
    </xf>
    <xf numFmtId="0" fontId="17" fillId="21" borderId="16" xfId="0" applyFont="1" applyFill="1" applyBorder="1" applyAlignment="1">
      <alignment horizontal="left" vertical="top" wrapText="1"/>
    </xf>
    <xf numFmtId="0" fontId="17" fillId="21" borderId="17" xfId="0" applyFont="1" applyFill="1" applyBorder="1" applyAlignment="1">
      <alignment horizontal="left" vertical="top" wrapText="1"/>
    </xf>
    <xf numFmtId="0" fontId="20" fillId="27" borderId="34" xfId="0" applyFont="1" applyFill="1" applyBorder="1" applyAlignment="1">
      <alignment horizontal="center" vertical="center"/>
    </xf>
    <xf numFmtId="0" fontId="20" fillId="27" borderId="7" xfId="0" applyFont="1" applyFill="1" applyBorder="1" applyAlignment="1">
      <alignment horizontal="center" vertical="center"/>
    </xf>
    <xf numFmtId="0" fontId="20" fillId="27" borderId="35" xfId="0" applyFont="1" applyFill="1" applyBorder="1" applyAlignment="1">
      <alignment horizontal="center" vertical="center"/>
    </xf>
    <xf numFmtId="0" fontId="20" fillId="27" borderId="5" xfId="0" applyFont="1" applyFill="1" applyBorder="1" applyAlignment="1">
      <alignment horizontal="center" vertical="center"/>
    </xf>
    <xf numFmtId="0" fontId="20" fillId="27" borderId="3" xfId="0" applyFont="1" applyFill="1" applyBorder="1" applyAlignment="1">
      <alignment horizontal="center" vertical="center"/>
    </xf>
    <xf numFmtId="0" fontId="20" fillId="27" borderId="33" xfId="0" applyFont="1" applyFill="1" applyBorder="1" applyAlignment="1">
      <alignment horizontal="center" vertical="center"/>
    </xf>
    <xf numFmtId="0" fontId="20" fillId="27" borderId="32" xfId="0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center"/>
    </xf>
  </cellXfs>
  <cellStyles count="21">
    <cellStyle name="Accent" xfId="1" xr:uid="{ACDCCAF9-7180-4685-B0BD-A447B27DA09A}"/>
    <cellStyle name="Accent 1" xfId="2" xr:uid="{382F41AF-5CBD-4155-8125-ACDD2D675C53}"/>
    <cellStyle name="Accent 2" xfId="3" xr:uid="{B7220D98-8511-44B9-A14F-09A6B50A9C27}"/>
    <cellStyle name="Accent 3" xfId="4" xr:uid="{90435C18-1DE8-4037-8F68-E999EE7B919E}"/>
    <cellStyle name="Bad" xfId="5" xr:uid="{5475FD01-29AB-4D11-AC7C-C5BF7A963F82}"/>
    <cellStyle name="Default" xfId="6" xr:uid="{51A2B2B1-3AE2-4AAA-861B-F2A163574AEA}"/>
    <cellStyle name="Error" xfId="7" xr:uid="{C45648A3-B844-4B4E-9E1C-6B166CAED046}"/>
    <cellStyle name="Excel Built-in Currency" xfId="8" xr:uid="{5D215287-15CE-467D-88FE-F53C2BC1BB03}"/>
    <cellStyle name="Footnote" xfId="9" xr:uid="{BD81FA50-36C8-4866-BF24-234B958B3356}"/>
    <cellStyle name="Good" xfId="10" xr:uid="{22795F51-6A4D-4376-8253-D81E52F4C64C}"/>
    <cellStyle name="Heading" xfId="11" xr:uid="{BA19BA21-8B2E-4789-97DE-518F2B541A20}"/>
    <cellStyle name="Heading 1" xfId="12" xr:uid="{FBFB320E-A61D-4159-84AE-C75ABBA411FA}"/>
    <cellStyle name="Heading 2" xfId="13" xr:uid="{C3016484-6F06-460E-B24A-E0FD6ED0CD5F}"/>
    <cellStyle name="Hyperlink" xfId="14" xr:uid="{6DB0665F-7148-4848-9DDE-31A838A9BE33}"/>
    <cellStyle name="Neutral" xfId="15" xr:uid="{18DE7778-86B2-4386-8AA2-0186F57E66AF}"/>
    <cellStyle name="Normal" xfId="0" builtinId="0" customBuiltin="1"/>
    <cellStyle name="Note" xfId="16" xr:uid="{C8445544-CFAD-4C6B-A875-B6374EEBD677}"/>
    <cellStyle name="Result" xfId="17" xr:uid="{F779C0E4-E011-42E8-8BB0-1960B6D7CF58}"/>
    <cellStyle name="Status" xfId="18" xr:uid="{680912E5-E685-40E0-9D24-506F8EB80B58}"/>
    <cellStyle name="Text" xfId="19" xr:uid="{4B742611-51B4-4C85-855B-D49D6DE7EEBD}"/>
    <cellStyle name="Warning" xfId="20" xr:uid="{2498A01D-093F-463A-8FF8-5CEDC6382946}"/>
  </cellStyles>
  <dxfs count="0"/>
  <tableStyles count="0" defaultTableStyle="TableStyleMedium2" defaultPivotStyle="PivotStyleLight16"/>
  <colors>
    <mruColors>
      <color rgb="FFDAF2D0"/>
      <color rgb="FFB4E5A2"/>
      <color rgb="FFE2EFDA"/>
      <color rgb="FFC00000"/>
      <color rgb="FF61CBF4"/>
      <color rgb="FFA9D08E"/>
      <color rgb="FFFFC000"/>
      <color rgb="FFFF5050"/>
      <color rgb="FF84CD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7352-AD29-497E-AE1F-998E15395CC1}">
  <dimension ref="A1:AC159"/>
  <sheetViews>
    <sheetView tabSelected="1" workbookViewId="0">
      <selection activeCell="W3" sqref="W3"/>
    </sheetView>
  </sheetViews>
  <sheetFormatPr defaultColWidth="8" defaultRowHeight="12.75" x14ac:dyDescent="0.2"/>
  <cols>
    <col min="1" max="1" width="1.7109375" style="2" customWidth="1"/>
    <col min="2" max="2" width="42.5703125" style="2" customWidth="1"/>
    <col min="3" max="3" width="20.7109375" style="2" customWidth="1"/>
    <col min="4" max="4" width="1.7109375" style="2" customWidth="1"/>
    <col min="5" max="5" width="36.5703125" style="2" bestFit="1" customWidth="1"/>
    <col min="6" max="6" width="20.7109375" style="2" customWidth="1"/>
    <col min="7" max="7" width="1.7109375" style="2" customWidth="1"/>
    <col min="8" max="8" width="14.28515625" style="2" bestFit="1" customWidth="1"/>
    <col min="9" max="9" width="14" style="2" bestFit="1" customWidth="1"/>
    <col min="10" max="10" width="8" style="2" customWidth="1"/>
    <col min="11" max="13" width="8" style="2"/>
    <col min="14" max="14" width="1.7109375" style="2" customWidth="1"/>
    <col min="15" max="15" width="46.85546875" style="2" customWidth="1"/>
    <col min="16" max="16" width="17.28515625" style="2" customWidth="1"/>
    <col min="17" max="17" width="14" style="2" customWidth="1"/>
    <col min="18" max="18" width="1.7109375" style="2" customWidth="1"/>
    <col min="19" max="19" width="46.85546875" style="2" customWidth="1"/>
    <col min="20" max="20" width="17.28515625" style="2" customWidth="1"/>
    <col min="21" max="21" width="14" style="2" customWidth="1"/>
    <col min="22" max="22" width="1.7109375" style="2" customWidth="1"/>
    <col min="23" max="23" width="46.85546875" style="2" customWidth="1"/>
    <col min="24" max="24" width="17.28515625" style="2" customWidth="1"/>
    <col min="25" max="25" width="14" style="2" customWidth="1"/>
    <col min="26" max="26" width="1.7109375" style="2" customWidth="1"/>
    <col min="27" max="27" width="46.85546875" style="2" customWidth="1"/>
    <col min="28" max="28" width="17.28515625" style="2" customWidth="1"/>
    <col min="29" max="29" width="14" style="2" customWidth="1"/>
    <col min="30" max="16384" width="8" style="2"/>
  </cols>
  <sheetData>
    <row r="1" spans="1:29" s="1" customFormat="1" ht="20.25" x14ac:dyDescent="0.3">
      <c r="A1" s="79"/>
      <c r="B1" s="113" t="s">
        <v>24</v>
      </c>
      <c r="C1" s="113"/>
      <c r="D1" s="113"/>
      <c r="E1" s="113"/>
      <c r="F1" s="113"/>
      <c r="G1" s="113"/>
      <c r="H1" s="113"/>
      <c r="I1" s="113"/>
      <c r="J1" s="113"/>
      <c r="K1" s="113"/>
      <c r="L1" s="35"/>
      <c r="M1" s="35"/>
      <c r="N1" s="72"/>
      <c r="O1" s="95" t="s">
        <v>25</v>
      </c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6"/>
    </row>
    <row r="2" spans="1:29" ht="12.75" customHeight="1" x14ac:dyDescent="0.2">
      <c r="A2" s="76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64"/>
      <c r="O2" s="109" t="s">
        <v>44</v>
      </c>
      <c r="P2" s="110"/>
      <c r="Q2" s="111"/>
      <c r="R2" s="62"/>
      <c r="S2" s="112" t="s">
        <v>45</v>
      </c>
      <c r="T2" s="110"/>
      <c r="U2" s="111"/>
      <c r="V2" s="62"/>
      <c r="W2" s="106" t="s">
        <v>46</v>
      </c>
      <c r="X2" s="107"/>
      <c r="Y2" s="108"/>
      <c r="Z2" s="62"/>
      <c r="AA2" s="106" t="s">
        <v>43</v>
      </c>
      <c r="AB2" s="107"/>
      <c r="AC2" s="108"/>
    </row>
    <row r="3" spans="1:29" x14ac:dyDescent="0.2">
      <c r="A3" s="77"/>
      <c r="B3" s="3" t="s">
        <v>19</v>
      </c>
      <c r="C3" s="4" t="s">
        <v>0</v>
      </c>
      <c r="D3" s="11"/>
      <c r="E3" s="5" t="s">
        <v>26</v>
      </c>
      <c r="F3" s="6" t="s">
        <v>9</v>
      </c>
      <c r="G3" s="11"/>
      <c r="H3" s="97" t="s">
        <v>27</v>
      </c>
      <c r="I3" s="98"/>
      <c r="J3" s="98"/>
      <c r="K3" s="98"/>
      <c r="L3" s="98"/>
      <c r="M3" s="99"/>
      <c r="N3" s="65"/>
      <c r="O3" s="67" t="s">
        <v>28</v>
      </c>
      <c r="P3" s="43" t="s">
        <v>22</v>
      </c>
      <c r="Q3" s="45" t="s">
        <v>23</v>
      </c>
      <c r="R3" s="59"/>
      <c r="S3" s="44" t="s">
        <v>15</v>
      </c>
      <c r="T3" s="43" t="s">
        <v>16</v>
      </c>
      <c r="U3" s="45" t="s">
        <v>9</v>
      </c>
      <c r="V3" s="59"/>
      <c r="W3" s="44" t="s">
        <v>15</v>
      </c>
      <c r="X3" s="43" t="s">
        <v>16</v>
      </c>
      <c r="Y3" s="45" t="s">
        <v>9</v>
      </c>
      <c r="Z3" s="59"/>
      <c r="AA3" s="44" t="s">
        <v>15</v>
      </c>
      <c r="AB3" s="43" t="s">
        <v>16</v>
      </c>
      <c r="AC3" s="45" t="s">
        <v>9</v>
      </c>
    </row>
    <row r="4" spans="1:29" ht="14.25" x14ac:dyDescent="0.2">
      <c r="A4" s="77"/>
      <c r="B4" s="7" t="s">
        <v>20</v>
      </c>
      <c r="C4" s="82">
        <f>SUM(C10:C13)</f>
        <v>3250</v>
      </c>
      <c r="D4" s="11"/>
      <c r="E4" s="8" t="s">
        <v>10</v>
      </c>
      <c r="F4" s="94">
        <v>1000</v>
      </c>
      <c r="G4" s="11"/>
      <c r="H4" s="100"/>
      <c r="I4" s="101"/>
      <c r="J4" s="101"/>
      <c r="K4" s="101"/>
      <c r="L4" s="101"/>
      <c r="M4" s="102"/>
      <c r="N4" s="65"/>
      <c r="O4" s="68" t="s">
        <v>50</v>
      </c>
      <c r="P4" s="37"/>
      <c r="Q4" s="52">
        <v>100</v>
      </c>
      <c r="R4" s="60"/>
      <c r="S4" s="68" t="s">
        <v>50</v>
      </c>
      <c r="T4" s="37"/>
      <c r="U4" s="52">
        <v>100</v>
      </c>
      <c r="V4" s="60"/>
      <c r="W4" s="68" t="s">
        <v>50</v>
      </c>
      <c r="X4" s="37"/>
      <c r="Y4" s="52">
        <v>100</v>
      </c>
      <c r="Z4" s="60"/>
      <c r="AA4" s="68" t="s">
        <v>50</v>
      </c>
      <c r="AB4" s="37"/>
      <c r="AC4" s="52">
        <v>100</v>
      </c>
    </row>
    <row r="5" spans="1:29" ht="14.25" customHeight="1" x14ac:dyDescent="0.2">
      <c r="A5" s="77"/>
      <c r="B5" s="7" t="s">
        <v>3</v>
      </c>
      <c r="C5" s="83">
        <f>SUM(C18:C31)</f>
        <v>3610</v>
      </c>
      <c r="D5" s="11"/>
      <c r="E5" s="8" t="s">
        <v>11</v>
      </c>
      <c r="F5" s="94">
        <v>5000</v>
      </c>
      <c r="G5" s="11"/>
      <c r="H5" s="100"/>
      <c r="I5" s="101"/>
      <c r="J5" s="101"/>
      <c r="K5" s="101"/>
      <c r="L5" s="101"/>
      <c r="M5" s="102"/>
      <c r="N5" s="65"/>
      <c r="O5" s="68" t="s">
        <v>51</v>
      </c>
      <c r="P5" s="37"/>
      <c r="Q5" s="52">
        <v>100</v>
      </c>
      <c r="R5" s="60"/>
      <c r="S5" s="68" t="s">
        <v>51</v>
      </c>
      <c r="T5" s="37"/>
      <c r="U5" s="52">
        <v>100</v>
      </c>
      <c r="V5" s="60"/>
      <c r="W5" s="68" t="s">
        <v>51</v>
      </c>
      <c r="X5" s="37"/>
      <c r="Y5" s="52">
        <v>100</v>
      </c>
      <c r="Z5" s="60"/>
      <c r="AA5" s="68" t="s">
        <v>51</v>
      </c>
      <c r="AB5" s="37"/>
      <c r="AC5" s="52">
        <v>100</v>
      </c>
    </row>
    <row r="6" spans="1:29" ht="14.25" x14ac:dyDescent="0.2">
      <c r="A6" s="77"/>
      <c r="B6" s="9" t="s">
        <v>21</v>
      </c>
      <c r="C6" s="84">
        <f>SUM(C4-C5)</f>
        <v>-360</v>
      </c>
      <c r="D6" s="11"/>
      <c r="E6" s="10" t="s">
        <v>12</v>
      </c>
      <c r="F6" s="86">
        <f>SUM(F4:F5)</f>
        <v>6000</v>
      </c>
      <c r="G6" s="11"/>
      <c r="H6" s="100"/>
      <c r="I6" s="101"/>
      <c r="J6" s="101"/>
      <c r="K6" s="101"/>
      <c r="L6" s="101"/>
      <c r="M6" s="102"/>
      <c r="N6" s="65"/>
      <c r="O6" s="68" t="s">
        <v>52</v>
      </c>
      <c r="P6" s="37"/>
      <c r="Q6" s="52">
        <v>100</v>
      </c>
      <c r="R6" s="60"/>
      <c r="S6" s="68" t="s">
        <v>52</v>
      </c>
      <c r="T6" s="37"/>
      <c r="U6" s="52">
        <v>100</v>
      </c>
      <c r="V6" s="60"/>
      <c r="W6" s="68" t="s">
        <v>52</v>
      </c>
      <c r="X6" s="37"/>
      <c r="Y6" s="52">
        <v>100</v>
      </c>
      <c r="Z6" s="60"/>
      <c r="AA6" s="48"/>
      <c r="AB6" s="39"/>
      <c r="AC6" s="47"/>
    </row>
    <row r="7" spans="1:29" ht="14.25" x14ac:dyDescent="0.2">
      <c r="A7" s="77"/>
      <c r="B7" s="11"/>
      <c r="C7" s="90"/>
      <c r="D7" s="11"/>
      <c r="E7" s="11"/>
      <c r="F7" s="90"/>
      <c r="G7" s="11"/>
      <c r="H7" s="100"/>
      <c r="I7" s="101"/>
      <c r="J7" s="101"/>
      <c r="K7" s="101"/>
      <c r="L7" s="101"/>
      <c r="M7" s="102"/>
      <c r="N7" s="65"/>
      <c r="O7" s="68" t="s">
        <v>53</v>
      </c>
      <c r="P7" s="37"/>
      <c r="Q7" s="52">
        <v>100</v>
      </c>
      <c r="R7" s="60"/>
      <c r="S7" s="68" t="s">
        <v>53</v>
      </c>
      <c r="T7" s="37"/>
      <c r="U7" s="52">
        <v>100</v>
      </c>
      <c r="V7" s="60"/>
      <c r="W7" s="68"/>
      <c r="X7" s="37"/>
      <c r="Y7" s="52"/>
      <c r="Z7" s="60"/>
      <c r="AA7" s="48"/>
      <c r="AB7" s="39"/>
      <c r="AC7" s="47"/>
    </row>
    <row r="8" spans="1:29" ht="14.25" x14ac:dyDescent="0.2">
      <c r="A8" s="77"/>
      <c r="B8" s="11"/>
      <c r="C8" s="90"/>
      <c r="D8" s="11"/>
      <c r="E8" s="11"/>
      <c r="F8" s="90"/>
      <c r="G8" s="11"/>
      <c r="H8" s="100"/>
      <c r="I8" s="101"/>
      <c r="J8" s="101"/>
      <c r="K8" s="101"/>
      <c r="L8" s="101"/>
      <c r="M8" s="102"/>
      <c r="N8" s="65"/>
      <c r="O8" s="68" t="s">
        <v>54</v>
      </c>
      <c r="P8" s="37"/>
      <c r="Q8" s="52">
        <v>100</v>
      </c>
      <c r="R8" s="60"/>
      <c r="S8" s="48"/>
      <c r="T8" s="39"/>
      <c r="U8" s="46"/>
      <c r="V8" s="60"/>
      <c r="W8" s="48"/>
      <c r="X8" s="39"/>
      <c r="Y8" s="47"/>
      <c r="Z8" s="60"/>
      <c r="AA8" s="48"/>
      <c r="AB8" s="39"/>
      <c r="AC8" s="47"/>
    </row>
    <row r="9" spans="1:29" ht="14.25" x14ac:dyDescent="0.2">
      <c r="A9" s="77"/>
      <c r="B9" s="12" t="s">
        <v>18</v>
      </c>
      <c r="C9" s="13" t="s">
        <v>0</v>
      </c>
      <c r="D9" s="11"/>
      <c r="E9" s="14" t="s">
        <v>13</v>
      </c>
      <c r="F9" s="15" t="s">
        <v>9</v>
      </c>
      <c r="G9" s="11"/>
      <c r="H9" s="100"/>
      <c r="I9" s="101"/>
      <c r="J9" s="101"/>
      <c r="K9" s="101"/>
      <c r="L9" s="101"/>
      <c r="M9" s="102"/>
      <c r="N9" s="65"/>
      <c r="O9" s="68"/>
      <c r="P9" s="37"/>
      <c r="Q9" s="52"/>
      <c r="R9" s="60"/>
      <c r="S9" s="48"/>
      <c r="T9" s="39"/>
      <c r="U9" s="46"/>
      <c r="V9" s="60"/>
      <c r="W9" s="48"/>
      <c r="X9" s="39"/>
      <c r="Y9" s="47"/>
      <c r="Z9" s="60"/>
      <c r="AA9" s="48"/>
      <c r="AB9" s="39"/>
      <c r="AC9" s="47"/>
    </row>
    <row r="10" spans="1:29" ht="14.25" x14ac:dyDescent="0.2">
      <c r="A10" s="77"/>
      <c r="B10" s="16" t="s">
        <v>30</v>
      </c>
      <c r="C10" s="88">
        <v>2000</v>
      </c>
      <c r="D10" s="11"/>
      <c r="E10" s="17" t="s">
        <v>34</v>
      </c>
      <c r="F10" s="74">
        <v>500</v>
      </c>
      <c r="G10" s="11"/>
      <c r="H10" s="100"/>
      <c r="I10" s="101"/>
      <c r="J10" s="101"/>
      <c r="K10" s="101"/>
      <c r="L10" s="101"/>
      <c r="M10" s="102"/>
      <c r="N10" s="65"/>
      <c r="O10" s="68"/>
      <c r="P10" s="37"/>
      <c r="Q10" s="52"/>
      <c r="R10" s="60"/>
      <c r="S10" s="48"/>
      <c r="T10" s="39"/>
      <c r="U10" s="46"/>
      <c r="V10" s="60"/>
      <c r="W10" s="48"/>
      <c r="X10" s="39"/>
      <c r="Y10" s="47"/>
      <c r="Z10" s="60"/>
      <c r="AA10" s="48"/>
      <c r="AB10" s="39"/>
      <c r="AC10" s="47"/>
    </row>
    <row r="11" spans="1:29" ht="14.25" x14ac:dyDescent="0.2">
      <c r="A11" s="77"/>
      <c r="B11" s="16" t="s">
        <v>31</v>
      </c>
      <c r="C11" s="89">
        <v>800</v>
      </c>
      <c r="D11" s="11"/>
      <c r="E11" s="17" t="s">
        <v>35</v>
      </c>
      <c r="F11" s="74">
        <v>200</v>
      </c>
      <c r="G11" s="11"/>
      <c r="H11" s="100"/>
      <c r="I11" s="101"/>
      <c r="J11" s="101"/>
      <c r="K11" s="101"/>
      <c r="L11" s="101"/>
      <c r="M11" s="102"/>
      <c r="N11" s="65"/>
      <c r="O11" s="68"/>
      <c r="P11" s="37"/>
      <c r="Q11" s="52"/>
      <c r="R11" s="60"/>
      <c r="S11" s="48"/>
      <c r="T11" s="39"/>
      <c r="U11" s="46"/>
      <c r="V11" s="60"/>
      <c r="W11" s="48"/>
      <c r="X11" s="39"/>
      <c r="Y11" s="47"/>
      <c r="Z11" s="60"/>
      <c r="AA11" s="48"/>
      <c r="AB11" s="39"/>
      <c r="AC11" s="47"/>
    </row>
    <row r="12" spans="1:29" ht="14.25" x14ac:dyDescent="0.2">
      <c r="A12" s="77"/>
      <c r="B12" s="16" t="s">
        <v>32</v>
      </c>
      <c r="C12" s="89">
        <v>350</v>
      </c>
      <c r="D12" s="11"/>
      <c r="E12" s="17" t="s">
        <v>36</v>
      </c>
      <c r="F12" s="74">
        <v>100</v>
      </c>
      <c r="G12" s="11"/>
      <c r="H12" s="100"/>
      <c r="I12" s="101"/>
      <c r="J12" s="101"/>
      <c r="K12" s="101"/>
      <c r="L12" s="101"/>
      <c r="M12" s="102"/>
      <c r="N12" s="65"/>
      <c r="O12" s="68"/>
      <c r="P12" s="37"/>
      <c r="Q12" s="52"/>
      <c r="R12" s="60"/>
      <c r="S12" s="48"/>
      <c r="T12" s="39"/>
      <c r="U12" s="46"/>
      <c r="V12" s="60"/>
      <c r="W12" s="48"/>
      <c r="X12" s="39"/>
      <c r="Y12" s="47"/>
      <c r="Z12" s="60"/>
      <c r="AA12" s="48"/>
      <c r="AB12" s="39"/>
      <c r="AC12" s="47"/>
    </row>
    <row r="13" spans="1:29" ht="14.25" x14ac:dyDescent="0.2">
      <c r="A13" s="77"/>
      <c r="B13" s="16" t="s">
        <v>33</v>
      </c>
      <c r="C13" s="89">
        <v>100</v>
      </c>
      <c r="D13" s="11"/>
      <c r="E13" s="18" t="s">
        <v>1</v>
      </c>
      <c r="F13" s="93"/>
      <c r="G13" s="11"/>
      <c r="H13" s="100"/>
      <c r="I13" s="101"/>
      <c r="J13" s="101"/>
      <c r="K13" s="101"/>
      <c r="L13" s="101"/>
      <c r="M13" s="102"/>
      <c r="N13" s="65"/>
      <c r="O13" s="68"/>
      <c r="P13" s="37"/>
      <c r="Q13" s="52"/>
      <c r="R13" s="60"/>
      <c r="S13" s="48"/>
      <c r="T13" s="39"/>
      <c r="U13" s="46"/>
      <c r="V13" s="60"/>
      <c r="W13" s="48"/>
      <c r="X13" s="39"/>
      <c r="Y13" s="47"/>
      <c r="Z13" s="60"/>
      <c r="AA13" s="48"/>
      <c r="AB13" s="39"/>
      <c r="AC13" s="47"/>
    </row>
    <row r="14" spans="1:29" ht="14.25" x14ac:dyDescent="0.2">
      <c r="A14" s="77"/>
      <c r="B14" s="19" t="s">
        <v>2</v>
      </c>
      <c r="C14" s="81">
        <f>SUM(C10:C13)</f>
        <v>3250</v>
      </c>
      <c r="D14" s="11"/>
      <c r="E14" s="20" t="s">
        <v>14</v>
      </c>
      <c r="F14" s="85">
        <f>SUM(F9:F13)</f>
        <v>800</v>
      </c>
      <c r="G14" s="11"/>
      <c r="H14" s="100"/>
      <c r="I14" s="101"/>
      <c r="J14" s="101"/>
      <c r="K14" s="101"/>
      <c r="L14" s="101"/>
      <c r="M14" s="102"/>
      <c r="N14" s="65"/>
      <c r="O14" s="68"/>
      <c r="P14" s="37"/>
      <c r="Q14" s="52"/>
      <c r="R14" s="60"/>
      <c r="S14" s="48"/>
      <c r="T14" s="39"/>
      <c r="U14" s="46"/>
      <c r="V14" s="60"/>
      <c r="W14" s="48"/>
      <c r="X14" s="39"/>
      <c r="Y14" s="47"/>
      <c r="Z14" s="60"/>
      <c r="AA14" s="48"/>
      <c r="AB14" s="39"/>
      <c r="AC14" s="47"/>
    </row>
    <row r="15" spans="1:29" ht="14.25" x14ac:dyDescent="0.2">
      <c r="A15" s="77"/>
      <c r="B15" s="11"/>
      <c r="C15" s="90"/>
      <c r="D15" s="11"/>
      <c r="E15" s="11"/>
      <c r="F15" s="90"/>
      <c r="G15" s="11"/>
      <c r="H15" s="100"/>
      <c r="I15" s="101"/>
      <c r="J15" s="101"/>
      <c r="K15" s="101"/>
      <c r="L15" s="101"/>
      <c r="M15" s="102"/>
      <c r="N15" s="65"/>
      <c r="O15" s="68"/>
      <c r="P15" s="37"/>
      <c r="Q15" s="52"/>
      <c r="R15" s="60"/>
      <c r="S15" s="48"/>
      <c r="T15" s="39"/>
      <c r="U15" s="46"/>
      <c r="V15" s="60"/>
      <c r="W15" s="48"/>
      <c r="X15" s="39"/>
      <c r="Y15" s="47"/>
      <c r="Z15" s="60"/>
      <c r="AA15" s="48"/>
      <c r="AB15" s="39"/>
      <c r="AC15" s="47"/>
    </row>
    <row r="16" spans="1:29" ht="14.25" x14ac:dyDescent="0.2">
      <c r="A16" s="77"/>
      <c r="B16" s="11"/>
      <c r="C16" s="90"/>
      <c r="D16" s="11"/>
      <c r="E16" s="11"/>
      <c r="F16" s="90"/>
      <c r="G16" s="11"/>
      <c r="H16" s="100"/>
      <c r="I16" s="101"/>
      <c r="J16" s="101"/>
      <c r="K16" s="101"/>
      <c r="L16" s="101"/>
      <c r="M16" s="102"/>
      <c r="N16" s="65"/>
      <c r="O16" s="68"/>
      <c r="P16" s="37"/>
      <c r="Q16" s="52"/>
      <c r="R16" s="60"/>
      <c r="S16" s="48"/>
      <c r="T16" s="39"/>
      <c r="U16" s="46"/>
      <c r="V16" s="60"/>
      <c r="W16" s="48"/>
      <c r="X16" s="39"/>
      <c r="Y16" s="47"/>
      <c r="Z16" s="60"/>
      <c r="AA16" s="48"/>
      <c r="AB16" s="39"/>
      <c r="AC16" s="47"/>
    </row>
    <row r="17" spans="1:29" ht="14.25" x14ac:dyDescent="0.2">
      <c r="A17" s="77"/>
      <c r="B17" s="21" t="s">
        <v>3</v>
      </c>
      <c r="C17" s="22" t="s">
        <v>0</v>
      </c>
      <c r="D17" s="33"/>
      <c r="E17" s="21" t="s">
        <v>29</v>
      </c>
      <c r="F17" s="22" t="s">
        <v>4</v>
      </c>
      <c r="G17" s="11"/>
      <c r="H17" s="100"/>
      <c r="I17" s="101"/>
      <c r="J17" s="101"/>
      <c r="K17" s="101"/>
      <c r="L17" s="101"/>
      <c r="M17" s="102"/>
      <c r="N17" s="65"/>
      <c r="O17" s="68"/>
      <c r="P17" s="37"/>
      <c r="Q17" s="52"/>
      <c r="R17" s="60"/>
      <c r="S17" s="48"/>
      <c r="T17" s="39"/>
      <c r="U17" s="46"/>
      <c r="V17" s="60"/>
      <c r="W17" s="48"/>
      <c r="X17" s="39"/>
      <c r="Y17" s="47"/>
      <c r="Z17" s="60"/>
      <c r="AA17" s="48"/>
      <c r="AB17" s="39"/>
      <c r="AC17" s="47"/>
    </row>
    <row r="18" spans="1:29" ht="14.25" x14ac:dyDescent="0.2">
      <c r="A18" s="77"/>
      <c r="B18" s="23" t="s">
        <v>37</v>
      </c>
      <c r="C18" s="87">
        <v>1200</v>
      </c>
      <c r="D18" s="11"/>
      <c r="E18" s="24" t="s">
        <v>48</v>
      </c>
      <c r="F18" s="91">
        <v>80</v>
      </c>
      <c r="G18" s="11"/>
      <c r="H18" s="100"/>
      <c r="I18" s="101"/>
      <c r="J18" s="101"/>
      <c r="K18" s="101"/>
      <c r="L18" s="101"/>
      <c r="M18" s="102"/>
      <c r="N18" s="65"/>
      <c r="O18" s="68"/>
      <c r="P18" s="37"/>
      <c r="Q18" s="52"/>
      <c r="R18" s="60"/>
      <c r="S18" s="48"/>
      <c r="T18" s="39"/>
      <c r="U18" s="46"/>
      <c r="V18" s="60"/>
      <c r="W18" s="48"/>
      <c r="X18" s="39"/>
      <c r="Y18" s="47"/>
      <c r="Z18" s="60"/>
      <c r="AA18" s="48"/>
      <c r="AB18" s="39"/>
      <c r="AC18" s="47"/>
    </row>
    <row r="19" spans="1:29" ht="14.25" x14ac:dyDescent="0.2">
      <c r="A19" s="77"/>
      <c r="B19" s="23" t="s">
        <v>38</v>
      </c>
      <c r="C19" s="87">
        <v>50</v>
      </c>
      <c r="D19" s="11"/>
      <c r="E19" s="24" t="s">
        <v>48</v>
      </c>
      <c r="F19" s="91">
        <v>90</v>
      </c>
      <c r="G19" s="11"/>
      <c r="H19" s="100"/>
      <c r="I19" s="101"/>
      <c r="J19" s="101"/>
      <c r="K19" s="101"/>
      <c r="L19" s="101"/>
      <c r="M19" s="102"/>
      <c r="N19" s="65"/>
      <c r="O19" s="68"/>
      <c r="P19" s="37"/>
      <c r="Q19" s="52"/>
      <c r="R19" s="60"/>
      <c r="S19" s="48"/>
      <c r="T19" s="39"/>
      <c r="U19" s="46"/>
      <c r="V19" s="60"/>
      <c r="W19" s="48"/>
      <c r="X19" s="39"/>
      <c r="Y19" s="47"/>
      <c r="Z19" s="60"/>
      <c r="AA19" s="48"/>
      <c r="AB19" s="39"/>
      <c r="AC19" s="47"/>
    </row>
    <row r="20" spans="1:29" ht="14.25" x14ac:dyDescent="0.2">
      <c r="A20" s="77"/>
      <c r="B20" s="23" t="s">
        <v>39</v>
      </c>
      <c r="C20" s="87">
        <v>70</v>
      </c>
      <c r="D20" s="11"/>
      <c r="E20" s="24"/>
      <c r="F20" s="91"/>
      <c r="G20" s="11"/>
      <c r="H20" s="100"/>
      <c r="I20" s="101"/>
      <c r="J20" s="101"/>
      <c r="K20" s="101"/>
      <c r="L20" s="101"/>
      <c r="M20" s="102"/>
      <c r="N20" s="65"/>
      <c r="O20" s="68"/>
      <c r="P20" s="37"/>
      <c r="Q20" s="52"/>
      <c r="R20" s="60"/>
      <c r="S20" s="48"/>
      <c r="T20" s="39"/>
      <c r="U20" s="46"/>
      <c r="V20" s="60"/>
      <c r="W20" s="48"/>
      <c r="X20" s="39"/>
      <c r="Y20" s="47"/>
      <c r="Z20" s="60"/>
      <c r="AA20" s="48"/>
      <c r="AB20" s="39"/>
      <c r="AC20" s="47"/>
    </row>
    <row r="21" spans="1:29" ht="14.25" x14ac:dyDescent="0.2">
      <c r="A21" s="77"/>
      <c r="B21" s="23" t="s">
        <v>40</v>
      </c>
      <c r="C21" s="87">
        <v>100</v>
      </c>
      <c r="D21" s="11"/>
      <c r="E21" s="24"/>
      <c r="F21" s="91"/>
      <c r="G21" s="11"/>
      <c r="H21" s="100"/>
      <c r="I21" s="101"/>
      <c r="J21" s="101"/>
      <c r="K21" s="101"/>
      <c r="L21" s="101"/>
      <c r="M21" s="102"/>
      <c r="N21" s="65"/>
      <c r="O21" s="68"/>
      <c r="P21" s="37"/>
      <c r="Q21" s="52"/>
      <c r="R21" s="60"/>
      <c r="S21" s="48"/>
      <c r="T21" s="39"/>
      <c r="U21" s="46"/>
      <c r="V21" s="60"/>
      <c r="W21" s="48"/>
      <c r="X21" s="39"/>
      <c r="Y21" s="47"/>
      <c r="Z21" s="60"/>
      <c r="AA21" s="48"/>
      <c r="AB21" s="39"/>
      <c r="AC21" s="47"/>
    </row>
    <row r="22" spans="1:29" ht="14.25" x14ac:dyDescent="0.2">
      <c r="A22" s="77"/>
      <c r="B22" s="23" t="s">
        <v>41</v>
      </c>
      <c r="C22" s="87">
        <v>30</v>
      </c>
      <c r="D22" s="11"/>
      <c r="E22" s="24"/>
      <c r="F22" s="91"/>
      <c r="G22" s="11"/>
      <c r="H22" s="100"/>
      <c r="I22" s="101"/>
      <c r="J22" s="101"/>
      <c r="K22" s="101"/>
      <c r="L22" s="101"/>
      <c r="M22" s="102"/>
      <c r="N22" s="65"/>
      <c r="O22" s="68"/>
      <c r="P22" s="37"/>
      <c r="Q22" s="52"/>
      <c r="R22" s="60"/>
      <c r="S22" s="48"/>
      <c r="T22" s="39"/>
      <c r="U22" s="46"/>
      <c r="V22" s="60"/>
      <c r="W22" s="48"/>
      <c r="X22" s="39"/>
      <c r="Y22" s="47"/>
      <c r="Z22" s="60"/>
      <c r="AA22" s="48"/>
      <c r="AB22" s="39"/>
      <c r="AC22" s="47"/>
    </row>
    <row r="23" spans="1:29" ht="14.25" x14ac:dyDescent="0.2">
      <c r="A23" s="77"/>
      <c r="B23" s="23" t="s">
        <v>42</v>
      </c>
      <c r="C23" s="87">
        <v>20</v>
      </c>
      <c r="D23" s="11"/>
      <c r="E23" s="24"/>
      <c r="F23" s="91"/>
      <c r="G23" s="11"/>
      <c r="H23" s="100"/>
      <c r="I23" s="101"/>
      <c r="J23" s="101"/>
      <c r="K23" s="101"/>
      <c r="L23" s="101"/>
      <c r="M23" s="102"/>
      <c r="N23" s="65"/>
      <c r="O23" s="68"/>
      <c r="P23" s="37"/>
      <c r="Q23" s="52"/>
      <c r="R23" s="60"/>
      <c r="S23" s="55"/>
      <c r="T23" s="39"/>
      <c r="U23" s="46"/>
      <c r="V23" s="60"/>
      <c r="W23" s="48"/>
      <c r="X23" s="39"/>
      <c r="Y23" s="47"/>
      <c r="Z23" s="60"/>
      <c r="AA23" s="48"/>
      <c r="AB23" s="39"/>
      <c r="AC23" s="47"/>
    </row>
    <row r="24" spans="1:29" ht="14.25" x14ac:dyDescent="0.2">
      <c r="A24" s="77"/>
      <c r="B24" s="23" t="s">
        <v>5</v>
      </c>
      <c r="C24" s="87">
        <v>90</v>
      </c>
      <c r="D24" s="11"/>
      <c r="E24" s="24"/>
      <c r="F24" s="91"/>
      <c r="G24" s="11"/>
      <c r="H24" s="100"/>
      <c r="I24" s="101"/>
      <c r="J24" s="101"/>
      <c r="K24" s="101"/>
      <c r="L24" s="101"/>
      <c r="M24" s="102"/>
      <c r="N24" s="65"/>
      <c r="O24" s="68"/>
      <c r="P24" s="37"/>
      <c r="Q24" s="52"/>
      <c r="R24" s="60"/>
      <c r="S24" s="48"/>
      <c r="T24" s="39"/>
      <c r="U24" s="46"/>
      <c r="V24" s="60"/>
      <c r="W24" s="48"/>
      <c r="X24" s="39"/>
      <c r="Y24" s="47"/>
      <c r="Z24" s="60"/>
      <c r="AA24" s="48"/>
      <c r="AB24" s="39"/>
      <c r="AC24" s="47"/>
    </row>
    <row r="25" spans="1:29" ht="14.25" x14ac:dyDescent="0.2">
      <c r="A25" s="77"/>
      <c r="B25" s="23" t="s">
        <v>43</v>
      </c>
      <c r="C25" s="87">
        <f>SUM(AC4:AC32)</f>
        <v>200</v>
      </c>
      <c r="D25" s="11"/>
      <c r="E25" s="24"/>
      <c r="F25" s="91"/>
      <c r="G25" s="11"/>
      <c r="H25" s="100"/>
      <c r="I25" s="101"/>
      <c r="J25" s="101"/>
      <c r="K25" s="101"/>
      <c r="L25" s="101"/>
      <c r="M25" s="102"/>
      <c r="N25" s="65"/>
      <c r="O25" s="68"/>
      <c r="P25" s="37"/>
      <c r="Q25" s="52"/>
      <c r="R25" s="60"/>
      <c r="S25" s="48"/>
      <c r="T25" s="39"/>
      <c r="U25" s="46"/>
      <c r="V25" s="60"/>
      <c r="W25" s="48"/>
      <c r="X25" s="39"/>
      <c r="Y25" s="47"/>
      <c r="Z25" s="60"/>
      <c r="AA25" s="48"/>
      <c r="AB25" s="39"/>
      <c r="AC25" s="47"/>
    </row>
    <row r="26" spans="1:29" ht="14.25" x14ac:dyDescent="0.2">
      <c r="A26" s="77"/>
      <c r="B26" s="25" t="s">
        <v>44</v>
      </c>
      <c r="C26" s="87">
        <f>SUM(Q4:Q32)</f>
        <v>500</v>
      </c>
      <c r="D26" s="11"/>
      <c r="E26" s="24"/>
      <c r="F26" s="91"/>
      <c r="G26" s="11"/>
      <c r="H26" s="100"/>
      <c r="I26" s="101"/>
      <c r="J26" s="101"/>
      <c r="K26" s="101"/>
      <c r="L26" s="101"/>
      <c r="M26" s="102"/>
      <c r="N26" s="65"/>
      <c r="O26" s="68"/>
      <c r="P26" s="37"/>
      <c r="Q26" s="52"/>
      <c r="R26" s="60"/>
      <c r="S26" s="56"/>
      <c r="T26" s="40"/>
      <c r="U26" s="57"/>
      <c r="V26" s="60"/>
      <c r="W26" s="48"/>
      <c r="X26" s="39"/>
      <c r="Y26" s="47"/>
      <c r="Z26" s="60"/>
      <c r="AA26" s="48"/>
      <c r="AB26" s="39"/>
      <c r="AC26" s="47"/>
    </row>
    <row r="27" spans="1:29" ht="14.25" x14ac:dyDescent="0.2">
      <c r="A27" s="77"/>
      <c r="B27" s="23" t="s">
        <v>45</v>
      </c>
      <c r="C27" s="87">
        <f>SUM(U4:U32)</f>
        <v>400</v>
      </c>
      <c r="D27" s="11"/>
      <c r="E27" s="24"/>
      <c r="F27" s="91"/>
      <c r="G27" s="11"/>
      <c r="H27" s="100"/>
      <c r="I27" s="101"/>
      <c r="J27" s="101"/>
      <c r="K27" s="101"/>
      <c r="L27" s="101"/>
      <c r="M27" s="102"/>
      <c r="N27" s="65"/>
      <c r="O27" s="68"/>
      <c r="P27" s="37"/>
      <c r="Q27" s="52"/>
      <c r="R27" s="60"/>
      <c r="S27" s="55"/>
      <c r="T27" s="38"/>
      <c r="U27" s="58"/>
      <c r="V27" s="60"/>
      <c r="W27" s="48"/>
      <c r="X27" s="39"/>
      <c r="Y27" s="47"/>
      <c r="Z27" s="60"/>
      <c r="AA27" s="48"/>
      <c r="AB27" s="39"/>
      <c r="AC27" s="47"/>
    </row>
    <row r="28" spans="1:29" ht="14.25" x14ac:dyDescent="0.2">
      <c r="A28" s="77"/>
      <c r="B28" s="23" t="s">
        <v>46</v>
      </c>
      <c r="C28" s="87">
        <f>SUM(Y4:Y32)</f>
        <v>300</v>
      </c>
      <c r="D28" s="11"/>
      <c r="E28" s="24"/>
      <c r="F28" s="91"/>
      <c r="G28" s="11"/>
      <c r="H28" s="100"/>
      <c r="I28" s="101"/>
      <c r="J28" s="101"/>
      <c r="K28" s="101"/>
      <c r="L28" s="101"/>
      <c r="M28" s="102"/>
      <c r="N28" s="65"/>
      <c r="O28" s="68"/>
      <c r="P28" s="37"/>
      <c r="Q28" s="52"/>
      <c r="R28" s="60"/>
      <c r="S28" s="55"/>
      <c r="T28" s="38"/>
      <c r="U28" s="58"/>
      <c r="V28" s="60"/>
      <c r="W28" s="48"/>
      <c r="X28" s="39"/>
      <c r="Y28" s="47"/>
      <c r="Z28" s="60"/>
      <c r="AA28" s="48"/>
      <c r="AB28" s="39"/>
      <c r="AC28" s="47"/>
    </row>
    <row r="29" spans="1:29" ht="14.25" x14ac:dyDescent="0.2">
      <c r="A29" s="77"/>
      <c r="B29" s="23" t="s">
        <v>6</v>
      </c>
      <c r="C29" s="87"/>
      <c r="D29" s="11"/>
      <c r="E29" s="24"/>
      <c r="F29" s="91"/>
      <c r="G29" s="11"/>
      <c r="H29" s="100"/>
      <c r="I29" s="101"/>
      <c r="J29" s="101"/>
      <c r="K29" s="101"/>
      <c r="L29" s="101"/>
      <c r="M29" s="102"/>
      <c r="N29" s="65"/>
      <c r="O29" s="68"/>
      <c r="P29" s="37"/>
      <c r="Q29" s="52"/>
      <c r="R29" s="60"/>
      <c r="S29" s="55"/>
      <c r="T29" s="38"/>
      <c r="U29" s="58"/>
      <c r="V29" s="60"/>
      <c r="W29" s="48"/>
      <c r="X29" s="39"/>
      <c r="Y29" s="47"/>
      <c r="Z29" s="60"/>
      <c r="AA29" s="48"/>
      <c r="AB29" s="39"/>
      <c r="AC29" s="47"/>
    </row>
    <row r="30" spans="1:29" ht="14.25" x14ac:dyDescent="0.2">
      <c r="A30" s="77"/>
      <c r="B30" s="23" t="s">
        <v>47</v>
      </c>
      <c r="C30" s="87">
        <v>20</v>
      </c>
      <c r="D30" s="11"/>
      <c r="E30" s="24"/>
      <c r="F30" s="91"/>
      <c r="G30" s="11"/>
      <c r="H30" s="100"/>
      <c r="I30" s="101"/>
      <c r="J30" s="101"/>
      <c r="K30" s="101"/>
      <c r="L30" s="101"/>
      <c r="M30" s="102"/>
      <c r="N30" s="65"/>
      <c r="O30" s="68"/>
      <c r="P30" s="37"/>
      <c r="Q30" s="52"/>
      <c r="R30" s="60"/>
      <c r="S30" s="55"/>
      <c r="T30" s="38"/>
      <c r="U30" s="58"/>
      <c r="V30" s="60"/>
      <c r="W30" s="48"/>
      <c r="X30" s="39"/>
      <c r="Y30" s="47"/>
      <c r="Z30" s="60"/>
      <c r="AA30" s="48"/>
      <c r="AB30" s="39"/>
      <c r="AC30" s="47"/>
    </row>
    <row r="31" spans="1:29" x14ac:dyDescent="0.2">
      <c r="A31" s="77"/>
      <c r="B31" s="23" t="s">
        <v>49</v>
      </c>
      <c r="C31" s="87">
        <v>630</v>
      </c>
      <c r="D31" s="11"/>
      <c r="E31" s="24"/>
      <c r="F31" s="91"/>
      <c r="G31" s="11"/>
      <c r="H31" s="100"/>
      <c r="I31" s="101"/>
      <c r="J31" s="101"/>
      <c r="K31" s="101"/>
      <c r="L31" s="101"/>
      <c r="M31" s="102"/>
      <c r="N31" s="65"/>
      <c r="O31" s="69"/>
      <c r="P31" s="41"/>
      <c r="Q31" s="53"/>
      <c r="R31" s="60"/>
      <c r="S31" s="55"/>
      <c r="T31" s="38"/>
      <c r="U31" s="58"/>
      <c r="V31" s="60"/>
      <c r="W31" s="48"/>
      <c r="X31" s="39"/>
      <c r="Y31" s="47"/>
      <c r="Z31" s="60"/>
      <c r="AA31" s="48"/>
      <c r="AB31" s="39"/>
      <c r="AC31" s="47"/>
    </row>
    <row r="32" spans="1:29" x14ac:dyDescent="0.2">
      <c r="A32" s="77"/>
      <c r="B32" s="26" t="s">
        <v>7</v>
      </c>
      <c r="C32" s="80">
        <f>SUM(C18:C31)</f>
        <v>3610</v>
      </c>
      <c r="D32" s="33"/>
      <c r="E32" s="27" t="s">
        <v>8</v>
      </c>
      <c r="F32" s="92">
        <f>SUM(F18:F31)</f>
        <v>170</v>
      </c>
      <c r="G32" s="11"/>
      <c r="H32" s="103"/>
      <c r="I32" s="104"/>
      <c r="J32" s="104"/>
      <c r="K32" s="104"/>
      <c r="L32" s="104"/>
      <c r="M32" s="105"/>
      <c r="N32" s="65"/>
      <c r="O32" s="70"/>
      <c r="P32" s="42"/>
      <c r="Q32" s="54"/>
      <c r="R32" s="60"/>
      <c r="S32" s="55"/>
      <c r="T32" s="38"/>
      <c r="U32" s="58"/>
      <c r="V32" s="60"/>
      <c r="W32" s="48"/>
      <c r="X32" s="39"/>
      <c r="Y32" s="47"/>
      <c r="Z32" s="60"/>
      <c r="AA32" s="48"/>
      <c r="AB32" s="39"/>
      <c r="AC32" s="47"/>
    </row>
    <row r="33" spans="1:29" x14ac:dyDescent="0.2">
      <c r="A33" s="75"/>
      <c r="B33" s="78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73"/>
      <c r="N33" s="66"/>
      <c r="O33" s="71" t="s">
        <v>17</v>
      </c>
      <c r="P33" s="50"/>
      <c r="Q33" s="51">
        <f>SUM(Q4:Q32)</f>
        <v>500</v>
      </c>
      <c r="R33" s="61"/>
      <c r="S33" s="49" t="s">
        <v>17</v>
      </c>
      <c r="T33" s="50"/>
      <c r="U33" s="63">
        <f>SUM(U4:U32)</f>
        <v>400</v>
      </c>
      <c r="V33" s="61"/>
      <c r="W33" s="49" t="s">
        <v>17</v>
      </c>
      <c r="X33" s="50"/>
      <c r="Y33" s="51">
        <f>SUM(Y4:Y32)</f>
        <v>300</v>
      </c>
      <c r="Z33" s="61"/>
      <c r="AA33" s="49" t="s">
        <v>17</v>
      </c>
      <c r="AB33" s="50"/>
      <c r="AC33" s="51">
        <f>SUM(AC4:AC32)</f>
        <v>200</v>
      </c>
    </row>
    <row r="35" spans="1:29" x14ac:dyDescent="0.2">
      <c r="P35" s="29"/>
      <c r="Q35" s="30"/>
      <c r="S35" s="28"/>
      <c r="T35" s="36"/>
      <c r="U35" s="28"/>
      <c r="X35" s="29"/>
      <c r="Y35" s="30"/>
      <c r="AB35" s="29"/>
      <c r="AC35" s="30"/>
    </row>
    <row r="36" spans="1:29" x14ac:dyDescent="0.2">
      <c r="P36" s="29"/>
      <c r="Q36" s="30"/>
      <c r="X36" s="29"/>
      <c r="Y36" s="30"/>
      <c r="AB36" s="29"/>
      <c r="AC36" s="30"/>
    </row>
    <row r="37" spans="1:29" x14ac:dyDescent="0.2">
      <c r="P37" s="29"/>
      <c r="Q37" s="30"/>
      <c r="X37" s="29"/>
      <c r="Y37" s="30"/>
      <c r="AB37" s="29"/>
      <c r="AC37" s="30"/>
    </row>
    <row r="38" spans="1:29" x14ac:dyDescent="0.2">
      <c r="P38" s="29"/>
      <c r="Q38" s="30"/>
      <c r="X38" s="29"/>
      <c r="Y38" s="30"/>
      <c r="AB38" s="29"/>
      <c r="AC38" s="30"/>
    </row>
    <row r="39" spans="1:29" x14ac:dyDescent="0.2">
      <c r="E39" s="28"/>
      <c r="P39" s="29"/>
      <c r="Q39" s="30"/>
      <c r="X39" s="29"/>
      <c r="Y39" s="30"/>
      <c r="AB39" s="29"/>
      <c r="AC39" s="30"/>
    </row>
    <row r="40" spans="1:29" x14ac:dyDescent="0.2">
      <c r="P40" s="29"/>
      <c r="Q40" s="30"/>
      <c r="X40" s="29"/>
      <c r="Y40" s="30"/>
      <c r="AB40" s="29"/>
      <c r="AC40" s="30"/>
    </row>
    <row r="41" spans="1:29" x14ac:dyDescent="0.2">
      <c r="P41" s="29"/>
      <c r="Q41" s="30"/>
      <c r="AB41" s="29"/>
      <c r="AC41" s="30"/>
    </row>
    <row r="42" spans="1:29" x14ac:dyDescent="0.2">
      <c r="AB42" s="29"/>
      <c r="AC42" s="30"/>
    </row>
    <row r="116" spans="3:4" x14ac:dyDescent="0.2">
      <c r="C116" s="29"/>
      <c r="D116" s="30"/>
    </row>
    <row r="159" spans="4:4" x14ac:dyDescent="0.2">
      <c r="D159" s="31"/>
    </row>
  </sheetData>
  <mergeCells count="8">
    <mergeCell ref="O1:AC1"/>
    <mergeCell ref="H3:M3"/>
    <mergeCell ref="H4:M32"/>
    <mergeCell ref="W2:Y2"/>
    <mergeCell ref="AA2:AC2"/>
    <mergeCell ref="O2:Q2"/>
    <mergeCell ref="S2:U2"/>
    <mergeCell ref="B1:K1"/>
  </mergeCells>
  <phoneticPr fontId="24" type="noConversion"/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Março - Aberto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Gileide De Oliveira</dc:creator>
  <cp:keywords/>
  <dc:description/>
  <cp:lastModifiedBy>Odilon Luccas de Oliveira</cp:lastModifiedBy>
  <cp:revision>1</cp:revision>
  <dcterms:created xsi:type="dcterms:W3CDTF">2024-12-20T09:56:13Z</dcterms:created>
  <dcterms:modified xsi:type="dcterms:W3CDTF">2026-03-05T16:47:48Z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